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0facdbde2ca20b4/Projects/Stats/"/>
    </mc:Choice>
  </mc:AlternateContent>
  <xr:revisionPtr revIDLastSave="0" documentId="8_{38898816-891E-4C95-B422-783F8267492A}" xr6:coauthVersionLast="47" xr6:coauthVersionMax="47" xr10:uidLastSave="{00000000-0000-0000-0000-000000000000}"/>
  <bookViews>
    <workbookView xWindow="2790" yWindow="2140" windowWidth="18110" windowHeight="16990" xr2:uid="{1ADAFD6A-5325-40FD-A936-AEE84DA9C4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0" i="1" l="1"/>
  <c r="D127" i="1"/>
  <c r="G127" i="1"/>
  <c r="D101" i="1"/>
  <c r="G113" i="1"/>
  <c r="D113" i="1"/>
  <c r="D94" i="1"/>
  <c r="G94" i="1"/>
  <c r="F78" i="1"/>
  <c r="G78" i="1" s="1"/>
  <c r="G70" i="1"/>
  <c r="E59" i="1"/>
  <c r="D55" i="1"/>
  <c r="G55" i="1"/>
  <c r="D40" i="1"/>
  <c r="G24" i="1"/>
  <c r="D24" i="1"/>
  <c r="D20" i="1"/>
  <c r="D14" i="1"/>
  <c r="G14" i="1"/>
</calcChain>
</file>

<file path=xl/sharedStrings.xml><?xml version="1.0" encoding="utf-8"?>
<sst xmlns="http://schemas.openxmlformats.org/spreadsheetml/2006/main" count="56" uniqueCount="43">
  <si>
    <t>Binomial example</t>
  </si>
  <si>
    <t>Toss 2 dice and take the sum; repeat 5 times. Let Y be the number of 7’s you see. Y ∼ Bin(5, 1/6).</t>
  </si>
  <si>
    <t>Manual</t>
  </si>
  <si>
    <t>Excel fx</t>
  </si>
  <si>
    <t>Remark: This is a probability mass function, which is P(n successes). The last argument in the Binomial fx is false.</t>
  </si>
  <si>
    <t>BINOM.DIST function - Microsoft Support</t>
  </si>
  <si>
    <t>Answer</t>
  </si>
  <si>
    <t>Bernoulli exercise</t>
  </si>
  <si>
    <t>Hypergeometric example</t>
  </si>
  <si>
    <t>Example: 25 sox in a box. 15 red, 10 blue. Pick 7 w/o replacement. What is P(exactly 3 reds)?</t>
  </si>
  <si>
    <t xml:space="preserve">Remark: Hypergeomtric distribution samples without replacement </t>
  </si>
  <si>
    <t>Binomial samples with replacement!</t>
  </si>
  <si>
    <t>Hypergeometric exercise</t>
  </si>
  <si>
    <t>I have four red sox and two blue sox. Suppose I pick three sox without replacement from those six. What’s the probability that I get exactly two reds and one blue ?</t>
  </si>
  <si>
    <t>Remark: I don't think the excel hypergeometric fx will work with two types</t>
  </si>
  <si>
    <t>Geometric example</t>
  </si>
  <si>
    <t>Toss a die repeatedly. What’s the probability that we observe a 3 for the first time on the 8th toss</t>
  </si>
  <si>
    <t>Continued: How many tosses would we expect to take?</t>
  </si>
  <si>
    <t>E[Z] = 1/p</t>
  </si>
  <si>
    <t>Memoryless propery of Geometric Distribution example:</t>
  </si>
  <si>
    <t xml:space="preserve">Example: Let’s toss a die until a 5 appears for the first time. Suppose that we’ve already made 4 tosses without success. </t>
  </si>
  <si>
    <t>What’s the probability that we’ll need more than 2 additional tosses before we observe a 5?</t>
  </si>
  <si>
    <t xml:space="preserve">This was provided: </t>
  </si>
  <si>
    <t>P(Z &gt; 6|Z &gt; 4) = P(Z &gt; 2) = (5/6)^2</t>
  </si>
  <si>
    <t>Me: or P(2 more failures)</t>
  </si>
  <si>
    <t>Remark: I used the negative binomial dist fx for this…</t>
  </si>
  <si>
    <t>Negative binomial distribution example:</t>
  </si>
  <si>
    <t xml:space="preserve"> Toss a die until a 5 appears for the third time. What’s the probability that we’ll need exactly 7 tosses?</t>
  </si>
  <si>
    <t>Answer:</t>
  </si>
  <si>
    <t>Manual:</t>
  </si>
  <si>
    <t>Excel fx:</t>
  </si>
  <si>
    <t>Geometric distribution exercise:</t>
  </si>
  <si>
    <t>k</t>
  </si>
  <si>
    <t>q^(k-1)*p</t>
  </si>
  <si>
    <t>inverse</t>
  </si>
  <si>
    <t>For some reason I can't get the excel function to match what I get manually</t>
  </si>
  <si>
    <t>Poisson example:</t>
  </si>
  <si>
    <t>Remark: Probability mass function here. Not a PDF.</t>
  </si>
  <si>
    <t>Poissions can be added!</t>
  </si>
  <si>
    <t>Exponential example:</t>
  </si>
  <si>
    <t>Poisson exercise:</t>
  </si>
  <si>
    <t>If the number of accidents at a factory this year is a Pois(3) random variable, ﬁnd the probability that we’ll have exactly 2 accidents this year.</t>
  </si>
  <si>
    <t xml:space="preserve">Exponential example: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</si>
</sst>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rgb="FF222222"/>
      <name val="Arial"/>
      <family val="2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2" fillId="0" borderId="0" xfId="1"/>
    <xf numFmtId="0" fontId="0" fillId="2" borderId="0" xfId="0" applyFill="1"/>
    <xf numFmtId="0" fontId="3" fillId="0" borderId="0" xfId="0" applyFont="1"/>
    <xf numFmtId="0" fontId="0" fillId="0" borderId="1" xfId="0" applyBorder="1"/>
    <xf numFmtId="0" fontId="4" fillId="3" borderId="0" xfId="0" applyFont="1" applyFill="1"/>
    <xf numFmtId="0" fontId="0" fillId="3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31750</xdr:colOff>
      <xdr:row>16</xdr:row>
      <xdr:rowOff>174627</xdr:rowOff>
    </xdr:from>
    <xdr:to>
      <xdr:col>9</xdr:col>
      <xdr:colOff>537304</xdr:colOff>
      <xdr:row>18</xdr:row>
      <xdr:rowOff>63034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D834909-D415-8207-D54F-EB579CC3FB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57375" y="1100669"/>
          <a:ext cx="4373762" cy="258824"/>
        </a:xfrm>
        <a:prstGeom prst="rect">
          <a:avLst/>
        </a:prstGeom>
      </xdr:spPr>
    </xdr:pic>
    <xdr:clientData/>
  </xdr:twoCellAnchor>
  <xdr:twoCellAnchor editAs="oneCell">
    <xdr:from>
      <xdr:col>3</xdr:col>
      <xdr:colOff>349250</xdr:colOff>
      <xdr:row>0</xdr:row>
      <xdr:rowOff>174625</xdr:rowOff>
    </xdr:from>
    <xdr:to>
      <xdr:col>9</xdr:col>
      <xdr:colOff>158750</xdr:colOff>
      <xdr:row>10</xdr:row>
      <xdr:rowOff>62115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624A3AF-CEFD-498B-4CDA-4219E67F8B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74875" y="174625"/>
          <a:ext cx="3677708" cy="1739573"/>
        </a:xfrm>
        <a:prstGeom prst="rect">
          <a:avLst/>
        </a:prstGeom>
      </xdr:spPr>
    </xdr:pic>
    <xdr:clientData/>
  </xdr:twoCellAnchor>
  <xdr:twoCellAnchor editAs="oneCell">
    <xdr:from>
      <xdr:col>3</xdr:col>
      <xdr:colOff>264582</xdr:colOff>
      <xdr:row>29</xdr:row>
      <xdr:rowOff>121709</xdr:rowOff>
    </xdr:from>
    <xdr:to>
      <xdr:col>9</xdr:col>
      <xdr:colOff>490283</xdr:colOff>
      <xdr:row>38</xdr:row>
      <xdr:rowOff>52916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838F180-A6B7-EF4B-1BD4-7C2B8E95CE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090207" y="5492751"/>
          <a:ext cx="4093909" cy="1598082"/>
        </a:xfrm>
        <a:prstGeom prst="rect">
          <a:avLst/>
        </a:prstGeom>
      </xdr:spPr>
    </xdr:pic>
    <xdr:clientData/>
  </xdr:twoCellAnchor>
  <xdr:twoCellAnchor editAs="oneCell">
    <xdr:from>
      <xdr:col>3</xdr:col>
      <xdr:colOff>195792</xdr:colOff>
      <xdr:row>43</xdr:row>
      <xdr:rowOff>30403</xdr:rowOff>
    </xdr:from>
    <xdr:to>
      <xdr:col>10</xdr:col>
      <xdr:colOff>35994</xdr:colOff>
      <xdr:row>53</xdr:row>
      <xdr:rowOff>76797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5144741-6155-D392-A536-153E5A9106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021417" y="7994361"/>
          <a:ext cx="4316952" cy="1898478"/>
        </a:xfrm>
        <a:prstGeom prst="rect">
          <a:avLst/>
        </a:prstGeom>
      </xdr:spPr>
    </xdr:pic>
    <xdr:clientData/>
  </xdr:twoCellAnchor>
  <xdr:twoCellAnchor editAs="oneCell">
    <xdr:from>
      <xdr:col>9</xdr:col>
      <xdr:colOff>158753</xdr:colOff>
      <xdr:row>68</xdr:row>
      <xdr:rowOff>58674</xdr:rowOff>
    </xdr:from>
    <xdr:to>
      <xdr:col>14</xdr:col>
      <xdr:colOff>508001</xdr:colOff>
      <xdr:row>70</xdr:row>
      <xdr:rowOff>157317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CA4EBA2-B8D5-18BA-201A-82E56FB756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635628" y="12652841"/>
          <a:ext cx="3391957" cy="469059"/>
        </a:xfrm>
        <a:prstGeom prst="rect">
          <a:avLst/>
        </a:prstGeom>
      </xdr:spPr>
    </xdr:pic>
    <xdr:clientData/>
  </xdr:twoCellAnchor>
  <xdr:twoCellAnchor editAs="oneCell">
    <xdr:from>
      <xdr:col>0</xdr:col>
      <xdr:colOff>587375</xdr:colOff>
      <xdr:row>73</xdr:row>
      <xdr:rowOff>10583</xdr:rowOff>
    </xdr:from>
    <xdr:to>
      <xdr:col>9</xdr:col>
      <xdr:colOff>245018</xdr:colOff>
      <xdr:row>75</xdr:row>
      <xdr:rowOff>113784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E37D6DB-7DEE-0050-4D21-9F8A5D3FB9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87375" y="13530791"/>
          <a:ext cx="5351476" cy="473618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80</xdr:row>
      <xdr:rowOff>0</xdr:rowOff>
    </xdr:from>
    <xdr:to>
      <xdr:col>10</xdr:col>
      <xdr:colOff>465668</xdr:colOff>
      <xdr:row>91</xdr:row>
      <xdr:rowOff>155434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F4B581F3-7181-D665-5E12-67B64D1561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08543" y="14816667"/>
          <a:ext cx="6159500" cy="21927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105</xdr:row>
      <xdr:rowOff>0</xdr:rowOff>
    </xdr:from>
    <xdr:to>
      <xdr:col>8</xdr:col>
      <xdr:colOff>285995</xdr:colOff>
      <xdr:row>110</xdr:row>
      <xdr:rowOff>134463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1A2CB098-92B5-153D-CE5D-C43ECA861F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08542" y="18335625"/>
          <a:ext cx="4762745" cy="106050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116</xdr:row>
      <xdr:rowOff>0</xdr:rowOff>
    </xdr:from>
    <xdr:to>
      <xdr:col>8</xdr:col>
      <xdr:colOff>296333</xdr:colOff>
      <xdr:row>124</xdr:row>
      <xdr:rowOff>158909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757605E6-2A5C-F870-3DF2-AC0441A6E6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08542" y="21484167"/>
          <a:ext cx="4773083" cy="16405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support.microsoft.com/en-us/office/binom-dist-function-c5ae37b6-f39c-4be2-94c2-509a1480770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6EE35-5EAB-4269-92ED-C8C8A61EC2FF}">
  <dimension ref="B12:K127"/>
  <sheetViews>
    <sheetView tabSelected="1" topLeftCell="A97" zoomScale="120" zoomScaleNormal="120" workbookViewId="0">
      <selection activeCell="G134" sqref="G134"/>
    </sheetView>
  </sheetViews>
  <sheetFormatPr defaultRowHeight="14.5" x14ac:dyDescent="0.35"/>
  <cols>
    <col min="4" max="4" width="11.81640625" bestFit="1" customWidth="1"/>
  </cols>
  <sheetData>
    <row r="12" spans="2:11" x14ac:dyDescent="0.35">
      <c r="B12" s="1" t="s">
        <v>0</v>
      </c>
      <c r="D12" t="s">
        <v>1</v>
      </c>
    </row>
    <row r="13" spans="2:11" x14ac:dyDescent="0.35">
      <c r="B13" s="1"/>
    </row>
    <row r="14" spans="2:11" x14ac:dyDescent="0.35">
      <c r="C14" s="1" t="s">
        <v>3</v>
      </c>
      <c r="D14">
        <f>_xlfn.BINOM.DIST(4,5,(1/6),FALSE)</f>
        <v>3.2150205761316848E-3</v>
      </c>
      <c r="F14" s="1" t="s">
        <v>2</v>
      </c>
      <c r="G14">
        <f>COMBIN(5,4)*((1/6)^4)*(5/6)</f>
        <v>3.2150205761316874E-3</v>
      </c>
    </row>
    <row r="15" spans="2:11" x14ac:dyDescent="0.35">
      <c r="C15" t="s">
        <v>4</v>
      </c>
    </row>
    <row r="16" spans="2:11" x14ac:dyDescent="0.35">
      <c r="C16" s="2" t="s">
        <v>5</v>
      </c>
      <c r="H16" s="3" t="s">
        <v>11</v>
      </c>
      <c r="I16" s="3"/>
      <c r="J16" s="3"/>
      <c r="K16" s="3"/>
    </row>
    <row r="18" spans="2:8" x14ac:dyDescent="0.35">
      <c r="B18" s="1" t="s">
        <v>7</v>
      </c>
    </row>
    <row r="20" spans="2:8" x14ac:dyDescent="0.35">
      <c r="C20" s="1" t="s">
        <v>6</v>
      </c>
      <c r="D20">
        <f>SQRT(0.1*0.9)/0.9</f>
        <v>0.33333333333333337</v>
      </c>
    </row>
    <row r="22" spans="2:8" x14ac:dyDescent="0.35">
      <c r="B22" s="1" t="s">
        <v>8</v>
      </c>
      <c r="E22" t="s">
        <v>9</v>
      </c>
    </row>
    <row r="24" spans="2:8" x14ac:dyDescent="0.35">
      <c r="C24" s="1" t="s">
        <v>3</v>
      </c>
      <c r="D24">
        <f>_xlfn.HYPGEOM.DIST(3, 7, 15, 25, FALSE)</f>
        <v>0.19877262325774908</v>
      </c>
      <c r="F24" s="1" t="s">
        <v>2</v>
      </c>
      <c r="G24">
        <f>COMBIN(15,3)*COMBIN(10,4)/COMBIN(25,7)</f>
        <v>0.19877262325774908</v>
      </c>
    </row>
    <row r="26" spans="2:8" x14ac:dyDescent="0.35">
      <c r="C26" t="s">
        <v>10</v>
      </c>
      <c r="D26" s="3"/>
      <c r="E26" s="3"/>
      <c r="F26" s="3"/>
      <c r="G26" s="3"/>
      <c r="H26" s="3"/>
    </row>
    <row r="28" spans="2:8" x14ac:dyDescent="0.35">
      <c r="B28" s="1" t="s">
        <v>12</v>
      </c>
    </row>
    <row r="29" spans="2:8" x14ac:dyDescent="0.35">
      <c r="C29" s="4" t="s">
        <v>13</v>
      </c>
    </row>
    <row r="40" spans="2:6" x14ac:dyDescent="0.35">
      <c r="C40" s="1" t="s">
        <v>6</v>
      </c>
      <c r="D40">
        <f>COMBIN(4,2)*COMBIN(2,1)/COMBIN(6,3)</f>
        <v>0.6</v>
      </c>
      <c r="F40" t="s">
        <v>14</v>
      </c>
    </row>
    <row r="42" spans="2:6" x14ac:dyDescent="0.35">
      <c r="B42" s="1" t="s">
        <v>15</v>
      </c>
      <c r="D42" t="s">
        <v>16</v>
      </c>
    </row>
    <row r="55" spans="2:9" x14ac:dyDescent="0.35">
      <c r="C55" s="1" t="s">
        <v>3</v>
      </c>
      <c r="D55">
        <f>_xlfn.NEGBINOM.DIST(7,1,(1/6),FALSE)</f>
        <v>4.6513607872275556E-2</v>
      </c>
      <c r="F55" s="1" t="s">
        <v>2</v>
      </c>
      <c r="G55">
        <f>(5/6)^7*(1/6)</f>
        <v>4.6513607872275584E-2</v>
      </c>
      <c r="I55" t="s">
        <v>25</v>
      </c>
    </row>
    <row r="56" spans="2:9" x14ac:dyDescent="0.35">
      <c r="C56" s="1"/>
    </row>
    <row r="57" spans="2:9" x14ac:dyDescent="0.35">
      <c r="B57" s="1" t="s">
        <v>17</v>
      </c>
    </row>
    <row r="59" spans="2:9" x14ac:dyDescent="0.35">
      <c r="C59" s="1" t="s">
        <v>6</v>
      </c>
      <c r="D59" t="s">
        <v>18</v>
      </c>
      <c r="E59">
        <f>1/(1/6)</f>
        <v>6</v>
      </c>
    </row>
    <row r="61" spans="2:9" x14ac:dyDescent="0.35">
      <c r="B61" s="1" t="s">
        <v>19</v>
      </c>
    </row>
    <row r="62" spans="2:9" x14ac:dyDescent="0.35">
      <c r="B62" t="s">
        <v>20</v>
      </c>
    </row>
    <row r="63" spans="2:9" x14ac:dyDescent="0.35">
      <c r="C63" t="s">
        <v>21</v>
      </c>
    </row>
    <row r="65" spans="2:9" x14ac:dyDescent="0.35">
      <c r="C65" t="s">
        <v>22</v>
      </c>
      <c r="E65" t="s">
        <v>23</v>
      </c>
      <c r="I65" t="s">
        <v>24</v>
      </c>
    </row>
    <row r="67" spans="2:9" x14ac:dyDescent="0.35">
      <c r="B67" s="1" t="s">
        <v>26</v>
      </c>
    </row>
    <row r="68" spans="2:9" x14ac:dyDescent="0.35">
      <c r="B68" t="s">
        <v>27</v>
      </c>
    </row>
    <row r="70" spans="2:9" x14ac:dyDescent="0.35">
      <c r="C70" s="1" t="s">
        <v>30</v>
      </c>
      <c r="D70">
        <f>_xlfn.NEGBINOM.DIST(2,7,(1/6),FALSE)</f>
        <v>6.9460321089264988E-5</v>
      </c>
      <c r="F70" s="1" t="s">
        <v>29</v>
      </c>
      <c r="G70">
        <f>COMBIN(6,2)*((1/6)^3)*((5/6)^4)</f>
        <v>3.3489797668038418E-2</v>
      </c>
    </row>
    <row r="71" spans="2:9" x14ac:dyDescent="0.35">
      <c r="C71" s="6" t="s">
        <v>35</v>
      </c>
      <c r="D71" s="7"/>
      <c r="E71" s="7"/>
      <c r="F71" s="7"/>
      <c r="G71" s="7"/>
      <c r="H71" s="7"/>
    </row>
    <row r="73" spans="2:9" x14ac:dyDescent="0.35">
      <c r="B73" s="1" t="s">
        <v>31</v>
      </c>
    </row>
    <row r="77" spans="2:9" x14ac:dyDescent="0.35">
      <c r="C77" s="1" t="s">
        <v>28</v>
      </c>
      <c r="E77" s="5" t="s">
        <v>32</v>
      </c>
      <c r="F77" s="5" t="s">
        <v>33</v>
      </c>
      <c r="G77" s="5" t="s">
        <v>34</v>
      </c>
    </row>
    <row r="78" spans="2:9" x14ac:dyDescent="0.35">
      <c r="E78">
        <v>1</v>
      </c>
      <c r="F78">
        <f>0.9^(E78-1)*0.1</f>
        <v>0.1</v>
      </c>
      <c r="G78">
        <f>1/F78</f>
        <v>10</v>
      </c>
    </row>
    <row r="79" spans="2:9" x14ac:dyDescent="0.35">
      <c r="B79" s="1" t="s">
        <v>36</v>
      </c>
    </row>
    <row r="92" spans="3:9" x14ac:dyDescent="0.35">
      <c r="C92" s="1"/>
    </row>
    <row r="94" spans="3:9" x14ac:dyDescent="0.35">
      <c r="C94" s="1" t="s">
        <v>30</v>
      </c>
      <c r="D94">
        <f>_xlfn.POISSON.DIST(2,4,FALSE)</f>
        <v>0.14652511110987346</v>
      </c>
      <c r="F94" s="1" t="s">
        <v>29</v>
      </c>
      <c r="G94">
        <f>EXP(-4)*4^2/FACT(2)</f>
        <v>0.14652511110987343</v>
      </c>
      <c r="I94" t="s">
        <v>37</v>
      </c>
    </row>
    <row r="96" spans="3:9" x14ac:dyDescent="0.35">
      <c r="C96" s="3" t="s">
        <v>38</v>
      </c>
      <c r="D96" s="3"/>
      <c r="E96" s="3"/>
    </row>
    <row r="99" spans="2:4" x14ac:dyDescent="0.35">
      <c r="B99" s="1" t="s">
        <v>40</v>
      </c>
      <c r="D99" s="4" t="s">
        <v>41</v>
      </c>
    </row>
    <row r="101" spans="2:4" x14ac:dyDescent="0.35">
      <c r="C101" s="1" t="s">
        <v>30</v>
      </c>
      <c r="D101">
        <f>_xlfn.POISSON.DIST(2,3,)</f>
        <v>0.22404180765538775</v>
      </c>
    </row>
    <row r="105" spans="2:4" x14ac:dyDescent="0.35">
      <c r="B105" s="1" t="s">
        <v>39</v>
      </c>
    </row>
    <row r="107" spans="2:4" x14ac:dyDescent="0.35">
      <c r="C107" s="1"/>
    </row>
    <row r="113" spans="2:7" x14ac:dyDescent="0.35">
      <c r="C113" s="1" t="s">
        <v>30</v>
      </c>
      <c r="D113">
        <f>_xlfn.EXPON.DIST(10,(1/10),FALSE)</f>
        <v>3.6787944117144235E-2</v>
      </c>
      <c r="F113" s="1" t="s">
        <v>29</v>
      </c>
      <c r="G113">
        <f>EXP(-1*((1/10)*10))</f>
        <v>0.36787944117144233</v>
      </c>
    </row>
    <row r="116" spans="2:7" x14ac:dyDescent="0.35">
      <c r="B116" s="1" t="s">
        <v>42</v>
      </c>
    </row>
    <row r="127" spans="2:7" x14ac:dyDescent="0.35">
      <c r="C127" s="1" t="s">
        <v>30</v>
      </c>
      <c r="D127">
        <f>1-_xlfn.EXPON.DIST(4/60,20,TRUE)</f>
        <v>0.26359713811572671</v>
      </c>
      <c r="F127" s="1" t="s">
        <v>29</v>
      </c>
      <c r="G127">
        <f>EXP(-20/15)</f>
        <v>0.26359713811572677</v>
      </c>
    </row>
  </sheetData>
  <hyperlinks>
    <hyperlink ref="C16" r:id="rId1" display="https://support.microsoft.com/en-us/office/binom-dist-function-c5ae37b6-f39c-4be2-94c2-509a1480770c" xr:uid="{5F19E054-E533-4E26-B3E9-047B0154D0F2}"/>
  </hyperlinks>
  <pageMargins left="0.7" right="0.7" top="0.75" bottom="0.75" header="0.3" footer="0.3"/>
  <pageSetup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Prasad</dc:creator>
  <cp:lastModifiedBy>Ryan Prasad</cp:lastModifiedBy>
  <dcterms:created xsi:type="dcterms:W3CDTF">2023-12-11T15:33:58Z</dcterms:created>
  <dcterms:modified xsi:type="dcterms:W3CDTF">2023-12-12T01:20:14Z</dcterms:modified>
</cp:coreProperties>
</file>